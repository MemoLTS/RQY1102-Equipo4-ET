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men Resultados" sheetId="1" state="visible" r:id="rId3"/>
    <sheet name="Registro Pruebas" sheetId="2" state="visible" r:id="rId4"/>
    <sheet name="Guia Estados" sheetId="3" state="visible" r:id="rId5"/>
    <sheet name="Descripcion Campos" sheetId="4" state="visible" r:id="rId6"/>
    <sheet name="Hoja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<sst xmlns="http://schemas.openxmlformats.org/spreadsheetml/2006/main" count="212" uniqueCount="181">
  <si>
    <t xml:space="preserve">RESUMEN RESULTADOS</t>
  </si>
  <si>
    <t xml:space="preserve">Indicador</t>
  </si>
  <si>
    <t xml:space="preserve">Valor</t>
  </si>
  <si>
    <t xml:space="preserve">Total Casos de Prueba</t>
  </si>
  <si>
    <t xml:space="preserve">Casos Aprobados</t>
  </si>
  <si>
    <t xml:space="preserve">Casos Fallidos</t>
  </si>
  <si>
    <t xml:space="preserve">Casos Pendientes</t>
  </si>
  <si>
    <t xml:space="preserve">% Éxito</t>
  </si>
  <si>
    <t xml:space="preserve">REGISTRO DE PRUEBAS DETALLADO</t>
  </si>
  <si>
    <t xml:space="preserve">ID</t>
  </si>
  <si>
    <t xml:space="preserve">Módulo / Requisito</t>
  </si>
  <si>
    <t xml:space="preserve">Caso de Prueba Específico / Pasos de Desarrollo</t>
  </si>
  <si>
    <t xml:space="preserve">Datos de Entrada</t>
  </si>
  <si>
    <t xml:space="preserve">Resultado Esperado</t>
  </si>
  <si>
    <t xml:space="preserve">Resultado Obtenido</t>
  </si>
  <si>
    <t xml:space="preserve">Estado</t>
  </si>
  <si>
    <t xml:space="preserve">Observaciones</t>
  </si>
  <si>
    <t xml:space="preserve">CP-RNF-01</t>
  </si>
  <si>
    <t xml:space="preserve">Usabilidad (RNF-01)</t>
  </si>
  <si>
    <t xml:space="preserve">Flujo: Consulta intuitiva para usuario final.
Pasos:
1. Ingresar a la URL pública del condominio.
2. Iniciar sesión única con RUT sin caracteres especiales.
3. Presionar el gran botón azul central 'Ver Mi Cuenta'.</t>
  </si>
  <si>
    <t xml:space="preserve">Usuario: ResidenteViejo
Pass: 123456</t>
  </si>
  <si>
    <t xml:space="preserve">Interfaz clara con tipografía grande, despliega el monto adeudado de forma comprensible en 2 clics.</t>
  </si>
  <si>
    <t xml:space="preserve">El usuario completó la consulta de su saldo vigente de forma fluida y autónoma.</t>
  </si>
  <si>
    <t xml:space="preserve">Aprobado</t>
  </si>
  <si>
    <t xml:space="preserve">Fácil navegación para adultos mayores.</t>
  </si>
  <si>
    <t xml:space="preserve">CP-RNF-02</t>
  </si>
  <si>
    <t xml:space="preserve">Accesibilidad (RNF-02)</t>
  </si>
  <si>
    <t xml:space="preserve">Flujo: Navegación y contraste de interfaz.
Pasos:
1. Activar el lector de pantalla por defecto del S.O.
2. Utilizar únicamente la tecla 'TAB' para moverse por el menú lateral.
3. Evaluar el contraste de texto contra fondos.</t>
  </si>
  <si>
    <t xml:space="preserve">Lector NVDA / Teclado (TAB)</t>
  </si>
  <si>
    <t xml:space="preserve">Todos los elementos interactivos tienen un foco visual marcado y son leídos en orden lógico secuencial.</t>
  </si>
  <si>
    <t xml:space="preserve">El foco visual desaparece al colapsar el menú lateral, impidiendo la lectura correcta del lector.</t>
  </si>
  <si>
    <t xml:space="preserve">Fallido</t>
  </si>
  <si>
    <t xml:space="preserve">Bug reportado: Corregir orden del tabindex.</t>
  </si>
  <si>
    <t xml:space="preserve">CP-RNF-03</t>
  </si>
  <si>
    <t xml:space="preserve">Compatibilidad (RNF-03)</t>
  </si>
  <si>
    <t xml:space="preserve">Flujo: Prueba de renderizado multiplataforma.
Pasos:
1. Cargar la app web en Safari (iOS), Chrome (Android) y Edge (Desktop).
2. Abrir la pantalla del panel contable.
3. Verificar que las tablas tengan scroll horizontal si es necesario.</t>
  </si>
  <si>
    <t xml:space="preserve">Dispositivos: iPhone 13, Galaxy S22, PC Windows</t>
  </si>
  <si>
    <t xml:space="preserve">Diseño adaptativo (responsive) fluido. Sin textos cortados ni botones que se encimen.</t>
  </si>
  <si>
    <t xml:space="preserve">El diseño se acopla adecuadamente a todas las resoluciones evaluadas.</t>
  </si>
  <si>
    <t xml:space="preserve">CP-RNF-04</t>
  </si>
  <si>
    <t xml:space="preserve">Rendimiento (RNF-04)</t>
  </si>
  <si>
    <t xml:space="preserve">Flujo: Latencia de consultas comunes.
Pasos:
1. Abrir consola del desarrollador (pestaña Network).
2. Seleccionar el menú 'Historial de Pagos'.
3. Presionar buscar y registrar el tiempo total de respuesta del API.</t>
  </si>
  <si>
    <t xml:space="preserve">Endpoint: /api/v1/pagos/historial</t>
  </si>
  <si>
    <t xml:space="preserve">El intercambio de datos finaliza y renderiza los elementos en pantalla en un tiempo menor a 3 segundos.</t>
  </si>
  <si>
    <t xml:space="preserve">La consulta se completó con un tiempo de respuesta de 1.45 segundos.</t>
  </si>
  <si>
    <t xml:space="preserve">CP-RNF-05</t>
  </si>
  <si>
    <t xml:space="preserve">Multi-usuario (RNF-05)</t>
  </si>
  <si>
    <t xml:space="preserve">Flujo: Estabilidad concurrente del servidor.
Pasos:
1. Levantar script de automatización JMeter.
2. Inyectar hilos de ejecución concurrentes en simulación de carga normal.
3. Monitorear tasa de error HTTP.</t>
  </si>
  <si>
    <t xml:space="preserve">150 usuarios simulados concurrentes por 5 min.</t>
  </si>
  <si>
    <t xml:space="preserve">El servidor mantiene la tasa de errores HTTP en 0% y los tiempos de respuesta no presentan picos críticos.</t>
  </si>
  <si>
    <t xml:space="preserve">El sistema aguantó la concurrencia manteniendo estabilidad en el servicio.</t>
  </si>
  <si>
    <t xml:space="preserve">CP-RNF-06</t>
  </si>
  <si>
    <t xml:space="preserve">Escalabilidad (RNF-06)</t>
  </si>
  <si>
    <t xml:space="preserve">Flujo: Comportamiento ante Base de Datos masiva.
Pasos:
1. Ejecutar script SQL de poblamiento masivo en tablas de transacciones.
2. Realizar una consulta de cobros históricos sin filtros restrictivos.
3. Evaluar uso de CPU del motor BD.</t>
  </si>
  <si>
    <t xml:space="preserve">Volumen: 50,000 registros insertados en bd_comunidad</t>
  </si>
  <si>
    <t xml:space="preserve">La base de datos ejecuta los índices correctamente sin provocar un bloqueo de lecturas (Deadlock).</t>
  </si>
  <si>
    <t xml:space="preserve">Los índices de las tablas mantuvieron las búsquedas estables y rápidas.</t>
  </si>
  <si>
    <t xml:space="preserve">CP-RNF-07</t>
  </si>
  <si>
    <t xml:space="preserve">Disponibilidad (RNF-07)</t>
  </si>
  <si>
    <t xml:space="preserve">Flujo: Control de uptime mensual.
Pasos:
1. Conectar bot de monitoreo de disponibilidad externa.
2. Configurar ping cada 60 segundos hacia el endpoint principal.
3. Revisar logs al finalizar el mes calendario.</t>
  </si>
  <si>
    <t xml:space="preserve">Monitoreo externo (UptimeRobot API)</t>
  </si>
  <si>
    <t xml:space="preserve">El porcentaje acumulado de disponibilidad del sistema debe ser igual o superior al 99.0%.</t>
  </si>
  <si>
    <t xml:space="preserve">Métricas confirman un uptime del 99.85% durante el periodo evaluado.</t>
  </si>
  <si>
    <t xml:space="preserve">CP-RNF-08</t>
  </si>
  <si>
    <t xml:space="preserve">Confiabilidad (RNF-08)</t>
  </si>
  <si>
    <t xml:space="preserve">Flujo: Integridad ante cortes de energía/red.
Pasos:
1. Iniciar registro de un pago de gastos comunes.
2. Cortar la conexión del microservicio a la mitad de la transacción del insert.
3. Verificar estado de consistencia.</t>
  </si>
  <si>
    <t xml:space="preserve">Query: INSERT INTO pagos; Simular caída de socket</t>
  </si>
  <si>
    <t xml:space="preserve">Activación inmediata de transacción Rollback. No quedan registros huérfanos ni saldos inconsistentes.</t>
  </si>
  <si>
    <t xml:space="preserve">Transacción revertida con éxito en la base de datos sin alterar saldos.</t>
  </si>
  <si>
    <t xml:space="preserve">CP-RNF-09</t>
  </si>
  <si>
    <t xml:space="preserve">Respaldo (RNF-09)</t>
  </si>
  <si>
    <t xml:space="preserve">Flujo: Recuperación ante desastres.
Pasos:
1. Ejecutar tarea automatizada Cron para generar archivo de respaldo comprimido.
2. Tomar el archivo .sql generado.
3. Intentar levantarlo en un servidor vacío de pruebas.</t>
  </si>
  <si>
    <t xml:space="preserve">Script: backup_db_diario.sh</t>
  </si>
  <si>
    <t xml:space="preserve">Generación sin errores de estructura ni de llaves foráneas. Restauración completa en menos de 10 minutos.</t>
  </si>
  <si>
    <t xml:space="preserve">El respaldo se generó y restauró íntegramente en el entorno espejo.</t>
  </si>
  <si>
    <t xml:space="preserve">CP-RNF-10</t>
  </si>
  <si>
    <t xml:space="preserve">Seguridad Acceso (RNF-10)</t>
  </si>
  <si>
    <t xml:space="preserve">Flujo: Escalación de privilegios no autorizada.
Pasos:
1. Iniciar sesión como rol de Residente.
2. Modificar de forma manual la barra de direcciones del navegador a la ruta protegida administrativa.
3. Presionar Enter.</t>
  </si>
  <si>
    <t xml:space="preserve">Ruta: /admin/configuracion_cuotas.php</t>
  </si>
  <si>
    <t xml:space="preserve">El middleware de seguridad detecta la falta de permisos, bloquea la petición y redirige a la página de login.</t>
  </si>
  <si>
    <t xml:space="preserve">El sistema bloqueó el acceso directo redirigiendo con un código HTTP 403.</t>
  </si>
  <si>
    <t xml:space="preserve">CP-RNF-11</t>
  </si>
  <si>
    <t xml:space="preserve">Protección Datos (RNF-11)</t>
  </si>
  <si>
    <t xml:space="preserve">Flujo: Auditoría de seguridad de datos sensibles.
Pasos:
1. Acceder directamente a las tablas de la BD mediante consola del motor.
2. Hacer un SELECT sobre la tabla de credenciales y datos financieros financieros.</t>
  </si>
  <si>
    <t xml:space="preserve">Query: SELECT password, tarjeta_token FROM usuarios;</t>
  </si>
  <si>
    <t xml:space="preserve">Las contraseñas deben estar cifradas mediante algoritmos robustos (Bcrypt/Argon2). Ningún dato bancario legible.</t>
  </si>
  <si>
    <t xml:space="preserve">Las cadenas de texto de claves están hasheadas y protegidas correctamente.</t>
  </si>
  <si>
    <t xml:space="preserve">CP-RNF-12</t>
  </si>
  <si>
    <t xml:space="preserve">Trazabilidad (RNF-12)</t>
  </si>
  <si>
    <t xml:space="preserve">Flujo: Registro auditable de acciones críticas.
Pasos:
1. Entrar como Administrador.
2. Modificar el monto cobrado de un mes a un departamento específico.
3. Revisar la tabla de logs generales del sistema.</t>
  </si>
  <si>
    <t xml:space="preserve">Acción: Cambio de cobro Depto 102 de $50 a $45</t>
  </si>
  <si>
    <t xml:space="preserve">Se debe generar un registro indomable que incluya timestamp exacto, ID del autor, dirección IP, valor anterior y nuevo.</t>
  </si>
  <si>
    <t xml:space="preserve">La tabla log_sistema capturó la transacción detallando todos los campos.</t>
  </si>
  <si>
    <t xml:space="preserve">CP-RNF-13</t>
  </si>
  <si>
    <t xml:space="preserve">Calidad Datos (RNF-13)</t>
  </si>
  <si>
    <t xml:space="preserve">Flujo: Validación contra inyección de datos basura.
Pasos:
1. Ir al formulario de registro de copropietarios.
2. Dejar el campo obligatorio 'Email' en blanco e introducir caracteres alfabéticos en el campo 'Teléfono'.
3. Enviar.</t>
  </si>
  <si>
    <t xml:space="preserve">Input: Telefono='abcde', Email=''</t>
  </si>
  <si>
    <t xml:space="preserve">El backend intercepta los datos inválidos, frena la inserción a BD y retorna mensajes de error descriptivos al formulario.</t>
  </si>
  <si>
    <t xml:space="preserve">El sistema rechazó el envío indicando los campos obligatorios y formatos erróneos.</t>
  </si>
  <si>
    <t xml:space="preserve">CP-RNF-14</t>
  </si>
  <si>
    <t xml:space="preserve">Notificaciones (RNF-14)</t>
  </si>
  <si>
    <t xml:space="preserve">Flujo: Gestión de reintentos ante fallas del proveedor.
Pasos:
1. Simular una caída del servidor de correo SMTP cambiando las credenciales a unas erróneas.
2. Lanzar una notificación masiva de cobro mensual.
3. Evaluar cola.</t>
  </si>
  <si>
    <t xml:space="preserve">Estado SMTP: Desconectado / Envío de 20 avisos</t>
  </si>
  <si>
    <t xml:space="preserve">El sistema registra la falla del primer intento, encola los mensajes en segundo plano (workers) y programa reintentos automáticos.</t>
  </si>
  <si>
    <t xml:space="preserve">Los correos quedaron almacenados en cola pendientes de reprocesar.</t>
  </si>
  <si>
    <t xml:space="preserve">Pendiente</t>
  </si>
  <si>
    <t xml:space="preserve">Validar el script de ejecución automática Cron para los reintentos.</t>
  </si>
  <si>
    <t xml:space="preserve">CP-RNF-15</t>
  </si>
  <si>
    <t xml:space="preserve">Mantenibilidad (RNF-15)</t>
  </si>
  <si>
    <t xml:space="preserve">Flujo: Inspección de arquitectura y modularidad.
Pasos:
1. Revisar la estructura de directorios del código fuente.
2. Comprobar que las clases de controladores de negocio no posean llamadas directas o queries SQL embebidos de manera directa.</t>
  </si>
  <si>
    <t xml:space="preserve">Análisis estático de código del proyecto Github</t>
  </si>
  <si>
    <t xml:space="preserve">Arquitectura desacoplada basada en capas bien definidas (MVC o similar) que facilite cambios futuros sin romper dependencias.</t>
  </si>
  <si>
    <t xml:space="preserve">Código ordenado modularmente siguiendo buenas prácticas de ingeniería.</t>
  </si>
  <si>
    <t xml:space="preserve">CP-RNF-16</t>
  </si>
  <si>
    <t xml:space="preserve">Configurabilidad (RNF-16)</t>
  </si>
  <si>
    <t xml:space="preserve">Flujo: Actualización dinámica de reglas de negocio.
Pasos:
1. Ingresar al panel de configuraciones base.
2. Modificar el porcentaje de interés por mora del 2% al 3.5% mensual.
3. Generar un cobro atrasado y evaluar cálculo.</t>
  </si>
  <si>
    <t xml:space="preserve">Parámetro: porcentaje_mora = 3.5</t>
  </si>
  <si>
    <t xml:space="preserve">El sistema calcula los recargos aplicando inmediatamente el 3.5% sin necesidad de reiniciar la aplicación ni compilar código.</t>
  </si>
  <si>
    <t xml:space="preserve">La lógica del sistema leyó el parámetro directo de la base de datos al vuelo.</t>
  </si>
  <si>
    <t xml:space="preserve">CP-RNF-17</t>
  </si>
  <si>
    <t xml:space="preserve">Localización (RNF-17)</t>
  </si>
  <si>
    <t xml:space="preserve">Flujo: Adaptabilidad normativa y regional.
Pasos:
1. Cambiar la configuración global de administración a 'País: Chile / Moneda: CLP / Formato Fecha: DD/MM/YYYY'.
2. Cargar la vista de estados de cobro.
3. Validar consistencia.</t>
  </si>
  <si>
    <t xml:space="preserve">Configuración: Chile (CLP / ES_CL)</t>
  </si>
  <si>
    <t xml:space="preserve">Despliegue correcto del símbolo de pesos ($), redondeo sin decimales y orden cronológico regionalizado sin tocar el código fuente.</t>
  </si>
  <si>
    <t xml:space="preserve">Falta terminar el mapeo completo del archivo de internacionalización para símbolos monetarios.</t>
  </si>
  <si>
    <t xml:space="preserve">Completar diccionario de traducción regional.</t>
  </si>
  <si>
    <t xml:space="preserve">CP-RNF-18</t>
  </si>
  <si>
    <t xml:space="preserve">Interoperabilidad (RNF-18)</t>
  </si>
  <si>
    <t xml:space="preserve">Flujo: Integración de pasarela contable externa.
Pasos:
1. Generar un pago de prueba simulado mediante la API externa.
2. Esperar la respuesta asíncrona del Webhook del proveedor contable.
3. Verificar actualización del saldo.</t>
  </si>
  <si>
    <t xml:space="preserve">Payload JSON externo enviado a /api/v1/callback-pago</t>
  </si>
  <si>
    <t xml:space="preserve">El sistema procesa el JSON de forma segura, identifica la propiedad vinculada y cambia el estado de la deuda a 'Pagada'.</t>
  </si>
  <si>
    <t xml:space="preserve">La prueba técnica arrojó códigos correctos en entorno controlado Sandbox.</t>
  </si>
  <si>
    <t xml:space="preserve">Faltan las llaves de acceso definitivas para el ambiente de producción.</t>
  </si>
  <si>
    <t xml:space="preserve">CP-RF-17</t>
  </si>
  <si>
    <t xml:space="preserve">Tiempo Real (RF-17)</t>
  </si>
  <si>
    <t xml:space="preserve">Flujo: Consulta de información en línea.
Pasos:
1. Modificar un registro de pago desde el perfil de finanzas.
2. Con otra sesión paralela de Supervisor, abrir inmediatamente la vista de ingresos.
3. Validar actualización de datos.</t>
  </si>
  <si>
    <t xml:space="preserve">Sesiones paralelas activas (Finanzas / Supervisor)</t>
  </si>
  <si>
    <t xml:space="preserve">La consulta en línea muestra los datos modificados al instante reflejando el estado real del sistema sin retrasos.</t>
  </si>
  <si>
    <t xml:space="preserve">Información sincronizada en tiempo real desplegada con éxito.</t>
  </si>
  <si>
    <t xml:space="preserve">CP-RF-18</t>
  </si>
  <si>
    <t xml:space="preserve">Residentes (RF-18)</t>
  </si>
  <si>
    <t xml:space="preserve">Flujo: Visualización financiera del propietario.
Pasos:
1. Entrar con credenciales de copropietario.
2. Ir a la pestaña de 'Mi Cuenta'.
3. Hacer clic sobre el desglose de deudas del periodo actual.</t>
  </si>
  <si>
    <t xml:space="preserve">ID_Usuario: Residente_TorreB_Depto201</t>
  </si>
  <si>
    <t xml:space="preserve">Se muestra en pantalla una tabla organizada detallando: Fondos de reserva, gasto común base, multas y consumos de agua.</t>
  </si>
  <si>
    <t xml:space="preserve">Despliegue financiero claro y ordenado conforme a la ficha del departamento.</t>
  </si>
  <si>
    <t xml:space="preserve">CP-RF-19</t>
  </si>
  <si>
    <t xml:space="preserve">Admin Avanzada (RF-19)</t>
  </si>
  <si>
    <t xml:space="preserve">Flujo: Creación y guardado de criterios de consulta dinámicos.
Pasos:
1. Entrar al buscador administrativo.
2. Configurar una consulta avanzada combinando rango de montos, torres y estado.
3. Guardar el criterio de búsqueda para uso futuro.</t>
  </si>
  <si>
    <t xml:space="preserve">Criterio guardado: 'Morosos_TorreA_Altos'</t>
  </si>
  <si>
    <t xml:space="preserve">El sistema almacena el set de filtros en el perfil del administrador y permite recargar la consulta con un solo clic.</t>
  </si>
  <si>
    <t xml:space="preserve">La configuración dinámica de criterios opera correctamente en la interfaz.</t>
  </si>
  <si>
    <t xml:space="preserve">CP-RF-20</t>
  </si>
  <si>
    <t xml:space="preserve">Búsqueda Filtros (RF-20)</t>
  </si>
  <si>
    <t xml:space="preserve">Flujo: Operación exhaustiva de filtrado avanzado.
Pasos:
1. Acceder al histórico general de transacciones del condominio.
2. Escribir en la barra de filtros avanzados: 'Año: 2026', 'Tipo: Multa', 'Torre: C'.
3. Presionar filtrar.</t>
  </si>
  <si>
    <t xml:space="preserve">Parámetros: anio=2026 &amp; tipo=multa &amp; torre=C</t>
  </si>
  <si>
    <t xml:space="preserve">La tabla resultante se reduce única y exclusivamente a los registros que cumplen las tres condiciones en paralelo.</t>
  </si>
  <si>
    <t xml:space="preserve">Filtrado preciso y ágil sobre la grilla de datos.</t>
  </si>
  <si>
    <t xml:space="preserve">CP-RF-21</t>
  </si>
  <si>
    <t xml:space="preserve">Panel Control (RF-21)</t>
  </si>
  <si>
    <t xml:space="preserve">Flujo: Visualización de KPIs clave de gestión.
Pasos:
1. Entrar al Dashboard Directivo.
2. Comprobar la carga de las tarjetas métricas (Tasa de Morosidad, Total Recaudado, Variación Mensual).
3. Validar el origen de los datos.</t>
  </si>
  <si>
    <t xml:space="preserve">Módulo: /admin/dashboard_v2.php</t>
  </si>
  <si>
    <t xml:space="preserve">Despliegue gráfico interactivo y correcto que consolida la información financiera real extraída de las tablas de cobros.</t>
  </si>
  <si>
    <t xml:space="preserve">Los gráficos e indicadores clave cargan correctamente alineados con los saldos de la BD.</t>
  </si>
  <si>
    <t xml:space="preserve">Métricas validadas con la gerencia.</t>
  </si>
  <si>
    <t xml:space="preserve">TIPIFICACION DE ESTADOS</t>
  </si>
  <si>
    <t xml:space="preserve">Significado</t>
  </si>
  <si>
    <t xml:space="preserve">El resultado obtenido coincide plenamente con el esperado conforme a las especificaciones técnicas analizadas.</t>
  </si>
  <si>
    <t xml:space="preserve">Existe una desviación, error (bug) o comportamiento inconsistente respecto al resultado esperado.</t>
  </si>
  <si>
    <t xml:space="preserve">La prueba de control de calidad o validación técnica aún no ha sido ejecutada en este ciclo de pruebas.</t>
  </si>
  <si>
    <t xml:space="preserve">DESCRIPCION DE CAMPOS</t>
  </si>
  <si>
    <t xml:space="preserve">Campo</t>
  </si>
  <si>
    <t xml:space="preserve">Propósito</t>
  </si>
  <si>
    <t xml:space="preserve">Código identificador secuencial y único asignado para realizar el seguimiento del caso de prueba.</t>
  </si>
  <si>
    <t xml:space="preserve">Especifica el requerimiento funcional (RF) o no funcional (RNF) del sistema que se somete a testeo.</t>
  </si>
  <si>
    <t xml:space="preserve">Caso de Prueba Específico / Pasos</t>
  </si>
  <si>
    <t xml:space="preserve">Detalle exhaustivo que describe el flujo lógico, acciones cronológicas y pasos secuenciales del desarrollo de la prueba.</t>
  </si>
  <si>
    <t xml:space="preserve">Parámetros, credenciales, payloads JSON, configuraciones de entorno o variables utilizadas como entrada.</t>
  </si>
  <si>
    <t xml:space="preserve">El comportamiento ideal, normado y óptimo que la aplicación debe manifestar según las reglas del proyecto.</t>
  </si>
  <si>
    <t xml:space="preserve">La respuesta, traza u observación real arrojada por el sistema en el entorno de pruebas ejecutado.</t>
  </si>
  <si>
    <t xml:space="preserve">Clasificación formal del resultado final del desarrollo de la prueba (Aprobado, Fallido o Pendiente).</t>
  </si>
  <si>
    <t xml:space="preserve">Notas adicionales del QA, códigos de error asociados, limitaciones o comentarios de mejora.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</si>
</sst>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65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E2F0D9"/>
        <bgColor rgb="FFF0F4F8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0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0F4F8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n">
        <f aca="false">COUNTA('Registro Pruebas'!A4:A26)</f>
        <v>23</v>
      </c>
    </row>
    <row r="5" customFormat="false" ht="15" hidden="false" customHeight="false" outlineLevel="0" collapsed="false">
      <c r="A5" s="3" t="s">
        <v>4</v>
      </c>
      <c r="B5" s="5" t="n">
        <f aca="false">COUNTIF('Registro Pruebas'!G4:G26, "Aprobado")</f>
        <v>19</v>
      </c>
    </row>
    <row r="6" customFormat="false" ht="15" hidden="false" customHeight="false" outlineLevel="0" collapsed="false">
      <c r="A6" s="3" t="s">
        <v>5</v>
      </c>
      <c r="B6" s="6" t="n">
        <f aca="false">COUNTIF('Registro Pruebas'!G4:G26, "Fallido")</f>
        <v>1</v>
      </c>
    </row>
    <row r="7" customFormat="false" ht="15" hidden="false" customHeight="false" outlineLevel="0" collapsed="false">
      <c r="A7" s="3" t="s">
        <v>6</v>
      </c>
      <c r="B7" s="7" t="n">
        <f aca="false">COUNTIF('Registro Pruebas'!G4:G26, "Pendiente")</f>
        <v>3</v>
      </c>
    </row>
    <row r="8" customFormat="false" ht="15" hidden="false" customHeight="false" outlineLevel="0" collapsed="false">
      <c r="A8" s="3" t="s">
        <v>7</v>
      </c>
      <c r="B8" s="8" t="n">
        <f aca="false">IF(B4&gt;0, B5/B4, 0)</f>
        <v>0.826086956521739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35"/>
    <col collapsed="false" customWidth="true" hidden="false" outlineLevel="0" max="6" min="5" style="0" width="45"/>
    <col collapsed="false" customWidth="true" hidden="false" outlineLevel="0" max="7" min="7" style="0" width="14"/>
    <col collapsed="false" customWidth="true" hidden="false" outlineLevel="0" max="8" min="8" style="0" width="35"/>
  </cols>
  <sheetData>
    <row r="1" customFormat="false" ht="17.35" hidden="false" customHeight="false" outlineLevel="0" collapsed="false">
      <c r="A1" s="1" t="s">
        <v>8</v>
      </c>
    </row>
    <row r="3" customFormat="false" ht="24" hidden="false" customHeight="true" outlineLevel="0" collapsed="false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customFormat="false" ht="67.5" hidden="false" customHeight="true" outlineLevel="0" collapsed="false">
      <c r="A4" s="9" t="s">
        <v>17</v>
      </c>
      <c r="B4" s="10" t="s">
        <v>18</v>
      </c>
      <c r="C4" s="10" t="s">
        <v>19</v>
      </c>
      <c r="D4" s="10" t="s">
        <v>20</v>
      </c>
      <c r="E4" s="10" t="s">
        <v>21</v>
      </c>
      <c r="F4" s="10" t="s">
        <v>22</v>
      </c>
      <c r="G4" s="11" t="s">
        <v>23</v>
      </c>
      <c r="H4" s="10" t="s">
        <v>24</v>
      </c>
    </row>
    <row r="5" customFormat="false" ht="67.5" hidden="false" customHeight="true" outlineLevel="0" collapsed="false">
      <c r="A5" s="12" t="s">
        <v>25</v>
      </c>
      <c r="B5" s="13" t="s">
        <v>26</v>
      </c>
      <c r="C5" s="13" t="s">
        <v>27</v>
      </c>
      <c r="D5" s="13" t="s">
        <v>28</v>
      </c>
      <c r="E5" s="13" t="s">
        <v>29</v>
      </c>
      <c r="F5" s="13" t="s">
        <v>30</v>
      </c>
      <c r="G5" s="14" t="s">
        <v>31</v>
      </c>
      <c r="H5" s="13" t="s">
        <v>32</v>
      </c>
    </row>
    <row r="6" customFormat="false" ht="67.5" hidden="false" customHeight="true" outlineLevel="0" collapsed="false">
      <c r="A6" s="9" t="s">
        <v>33</v>
      </c>
      <c r="B6" s="10" t="s">
        <v>34</v>
      </c>
      <c r="C6" s="10" t="s">
        <v>35</v>
      </c>
      <c r="D6" s="10" t="s">
        <v>36</v>
      </c>
      <c r="E6" s="10" t="s">
        <v>37</v>
      </c>
      <c r="F6" s="10" t="s">
        <v>38</v>
      </c>
      <c r="G6" s="11" t="s">
        <v>23</v>
      </c>
      <c r="H6" s="10"/>
    </row>
    <row r="7" customFormat="false" ht="67.5" hidden="false" customHeight="true" outlineLevel="0" collapsed="false">
      <c r="A7" s="12" t="s">
        <v>39</v>
      </c>
      <c r="B7" s="13" t="s">
        <v>40</v>
      </c>
      <c r="C7" s="13" t="s">
        <v>41</v>
      </c>
      <c r="D7" s="13" t="s">
        <v>42</v>
      </c>
      <c r="E7" s="13" t="s">
        <v>43</v>
      </c>
      <c r="F7" s="13" t="s">
        <v>44</v>
      </c>
      <c r="G7" s="11" t="s">
        <v>23</v>
      </c>
      <c r="H7" s="13"/>
    </row>
    <row r="8" customFormat="false" ht="67.5" hidden="false" customHeight="true" outlineLevel="0" collapsed="false">
      <c r="A8" s="9" t="s">
        <v>45</v>
      </c>
      <c r="B8" s="10" t="s">
        <v>46</v>
      </c>
      <c r="C8" s="10" t="s">
        <v>47</v>
      </c>
      <c r="D8" s="10" t="s">
        <v>48</v>
      </c>
      <c r="E8" s="10" t="s">
        <v>49</v>
      </c>
      <c r="F8" s="10" t="s">
        <v>50</v>
      </c>
      <c r="G8" s="11" t="s">
        <v>23</v>
      </c>
      <c r="H8" s="10"/>
    </row>
    <row r="9" customFormat="false" ht="67.5" hidden="false" customHeight="true" outlineLevel="0" collapsed="false">
      <c r="A9" s="12" t="s">
        <v>51</v>
      </c>
      <c r="B9" s="13" t="s">
        <v>52</v>
      </c>
      <c r="C9" s="13" t="s">
        <v>53</v>
      </c>
      <c r="D9" s="13" t="s">
        <v>54</v>
      </c>
      <c r="E9" s="13" t="s">
        <v>55</v>
      </c>
      <c r="F9" s="13" t="s">
        <v>56</v>
      </c>
      <c r="G9" s="11" t="s">
        <v>23</v>
      </c>
      <c r="H9" s="13"/>
    </row>
    <row r="10" customFormat="false" ht="67.5" hidden="false" customHeight="true" outlineLevel="0" collapsed="false">
      <c r="A10" s="9" t="s">
        <v>57</v>
      </c>
      <c r="B10" s="10" t="s">
        <v>58</v>
      </c>
      <c r="C10" s="10" t="s">
        <v>59</v>
      </c>
      <c r="D10" s="10" t="s">
        <v>60</v>
      </c>
      <c r="E10" s="10" t="s">
        <v>61</v>
      </c>
      <c r="F10" s="10" t="s">
        <v>62</v>
      </c>
      <c r="G10" s="11" t="s">
        <v>23</v>
      </c>
      <c r="H10" s="10"/>
    </row>
    <row r="11" customFormat="false" ht="67.5" hidden="false" customHeight="true" outlineLevel="0" collapsed="false">
      <c r="A11" s="12" t="s">
        <v>63</v>
      </c>
      <c r="B11" s="13" t="s">
        <v>64</v>
      </c>
      <c r="C11" s="13" t="s">
        <v>65</v>
      </c>
      <c r="D11" s="13" t="s">
        <v>66</v>
      </c>
      <c r="E11" s="13" t="s">
        <v>67</v>
      </c>
      <c r="F11" s="13" t="s">
        <v>68</v>
      </c>
      <c r="G11" s="11" t="s">
        <v>23</v>
      </c>
      <c r="H11" s="13"/>
    </row>
    <row r="12" customFormat="false" ht="67.5" hidden="false" customHeight="true" outlineLevel="0" collapsed="false">
      <c r="A12" s="9" t="s">
        <v>69</v>
      </c>
      <c r="B12" s="10" t="s">
        <v>70</v>
      </c>
      <c r="C12" s="10" t="s">
        <v>71</v>
      </c>
      <c r="D12" s="10" t="s">
        <v>72</v>
      </c>
      <c r="E12" s="10" t="s">
        <v>73</v>
      </c>
      <c r="F12" s="10" t="s">
        <v>74</v>
      </c>
      <c r="G12" s="11" t="s">
        <v>23</v>
      </c>
      <c r="H12" s="10"/>
    </row>
    <row r="13" customFormat="false" ht="67.5" hidden="false" customHeight="true" outlineLevel="0" collapsed="false">
      <c r="A13" s="12" t="s">
        <v>75</v>
      </c>
      <c r="B13" s="13" t="s">
        <v>76</v>
      </c>
      <c r="C13" s="13" t="s">
        <v>77</v>
      </c>
      <c r="D13" s="13" t="s">
        <v>78</v>
      </c>
      <c r="E13" s="13" t="s">
        <v>79</v>
      </c>
      <c r="F13" s="13" t="s">
        <v>80</v>
      </c>
      <c r="G13" s="11" t="s">
        <v>23</v>
      </c>
      <c r="H13" s="13"/>
    </row>
    <row r="14" customFormat="false" ht="67.5" hidden="false" customHeight="true" outlineLevel="0" collapsed="false">
      <c r="A14" s="9" t="s">
        <v>81</v>
      </c>
      <c r="B14" s="10" t="s">
        <v>82</v>
      </c>
      <c r="C14" s="10" t="s">
        <v>83</v>
      </c>
      <c r="D14" s="10" t="s">
        <v>84</v>
      </c>
      <c r="E14" s="10" t="s">
        <v>85</v>
      </c>
      <c r="F14" s="10" t="s">
        <v>86</v>
      </c>
      <c r="G14" s="11" t="s">
        <v>23</v>
      </c>
      <c r="H14" s="10"/>
    </row>
    <row r="15" customFormat="false" ht="67.5" hidden="false" customHeight="true" outlineLevel="0" collapsed="false">
      <c r="A15" s="12" t="s">
        <v>87</v>
      </c>
      <c r="B15" s="13" t="s">
        <v>88</v>
      </c>
      <c r="C15" s="13" t="s">
        <v>89</v>
      </c>
      <c r="D15" s="13" t="s">
        <v>90</v>
      </c>
      <c r="E15" s="13" t="s">
        <v>91</v>
      </c>
      <c r="F15" s="13" t="s">
        <v>92</v>
      </c>
      <c r="G15" s="11" t="s">
        <v>23</v>
      </c>
      <c r="H15" s="13"/>
    </row>
    <row r="16" customFormat="false" ht="67.5" hidden="false" customHeight="true" outlineLevel="0" collapsed="false">
      <c r="A16" s="9" t="s">
        <v>93</v>
      </c>
      <c r="B16" s="10" t="s">
        <v>94</v>
      </c>
      <c r="C16" s="10" t="s">
        <v>95</v>
      </c>
      <c r="D16" s="10" t="s">
        <v>96</v>
      </c>
      <c r="E16" s="10" t="s">
        <v>97</v>
      </c>
      <c r="F16" s="10" t="s">
        <v>98</v>
      </c>
      <c r="G16" s="11" t="s">
        <v>23</v>
      </c>
      <c r="H16" s="10"/>
    </row>
    <row r="17" customFormat="false" ht="67.5" hidden="false" customHeight="true" outlineLevel="0" collapsed="false">
      <c r="A17" s="12" t="s">
        <v>99</v>
      </c>
      <c r="B17" s="13" t="s">
        <v>100</v>
      </c>
      <c r="C17" s="13" t="s">
        <v>101</v>
      </c>
      <c r="D17" s="13" t="s">
        <v>102</v>
      </c>
      <c r="E17" s="13" t="s">
        <v>103</v>
      </c>
      <c r="F17" s="13" t="s">
        <v>104</v>
      </c>
      <c r="G17" s="15" t="s">
        <v>105</v>
      </c>
      <c r="H17" s="13" t="s">
        <v>106</v>
      </c>
    </row>
    <row r="18" customFormat="false" ht="67.5" hidden="false" customHeight="true" outlineLevel="0" collapsed="false">
      <c r="A18" s="9" t="s">
        <v>107</v>
      </c>
      <c r="B18" s="10" t="s">
        <v>108</v>
      </c>
      <c r="C18" s="10" t="s">
        <v>109</v>
      </c>
      <c r="D18" s="10" t="s">
        <v>110</v>
      </c>
      <c r="E18" s="10" t="s">
        <v>111</v>
      </c>
      <c r="F18" s="10" t="s">
        <v>112</v>
      </c>
      <c r="G18" s="11" t="s">
        <v>23</v>
      </c>
      <c r="H18" s="10"/>
    </row>
    <row r="19" customFormat="false" ht="67.5" hidden="false" customHeight="true" outlineLevel="0" collapsed="false">
      <c r="A19" s="12" t="s">
        <v>113</v>
      </c>
      <c r="B19" s="13" t="s">
        <v>114</v>
      </c>
      <c r="C19" s="13" t="s">
        <v>115</v>
      </c>
      <c r="D19" s="13" t="s">
        <v>116</v>
      </c>
      <c r="E19" s="13" t="s">
        <v>117</v>
      </c>
      <c r="F19" s="13" t="s">
        <v>118</v>
      </c>
      <c r="G19" s="11" t="s">
        <v>23</v>
      </c>
      <c r="H19" s="13"/>
    </row>
    <row r="20" customFormat="false" ht="67.5" hidden="false" customHeight="true" outlineLevel="0" collapsed="false">
      <c r="A20" s="9" t="s">
        <v>119</v>
      </c>
      <c r="B20" s="10" t="s">
        <v>120</v>
      </c>
      <c r="C20" s="10" t="s">
        <v>121</v>
      </c>
      <c r="D20" s="10" t="s">
        <v>122</v>
      </c>
      <c r="E20" s="10" t="s">
        <v>123</v>
      </c>
      <c r="F20" s="10" t="s">
        <v>124</v>
      </c>
      <c r="G20" s="15" t="s">
        <v>105</v>
      </c>
      <c r="H20" s="10" t="s">
        <v>125</v>
      </c>
    </row>
    <row r="21" customFormat="false" ht="67.5" hidden="false" customHeight="true" outlineLevel="0" collapsed="false">
      <c r="A21" s="12" t="s">
        <v>126</v>
      </c>
      <c r="B21" s="13" t="s">
        <v>127</v>
      </c>
      <c r="C21" s="13" t="s">
        <v>128</v>
      </c>
      <c r="D21" s="13" t="s">
        <v>129</v>
      </c>
      <c r="E21" s="13" t="s">
        <v>130</v>
      </c>
      <c r="F21" s="13" t="s">
        <v>131</v>
      </c>
      <c r="G21" s="15" t="s">
        <v>105</v>
      </c>
      <c r="H21" s="13" t="s">
        <v>132</v>
      </c>
    </row>
    <row r="22" customFormat="false" ht="67.5" hidden="false" customHeight="true" outlineLevel="0" collapsed="false">
      <c r="A22" s="9" t="s">
        <v>133</v>
      </c>
      <c r="B22" s="10" t="s">
        <v>134</v>
      </c>
      <c r="C22" s="10" t="s">
        <v>135</v>
      </c>
      <c r="D22" s="10" t="s">
        <v>136</v>
      </c>
      <c r="E22" s="10" t="s">
        <v>137</v>
      </c>
      <c r="F22" s="10" t="s">
        <v>138</v>
      </c>
      <c r="G22" s="11" t="s">
        <v>23</v>
      </c>
      <c r="H22" s="10"/>
    </row>
    <row r="23" customFormat="false" ht="67.5" hidden="false" customHeight="true" outlineLevel="0" collapsed="false">
      <c r="A23" s="12" t="s">
        <v>139</v>
      </c>
      <c r="B23" s="13" t="s">
        <v>140</v>
      </c>
      <c r="C23" s="13" t="s">
        <v>141</v>
      </c>
      <c r="D23" s="13" t="s">
        <v>142</v>
      </c>
      <c r="E23" s="13" t="s">
        <v>143</v>
      </c>
      <c r="F23" s="13" t="s">
        <v>144</v>
      </c>
      <c r="G23" s="11" t="s">
        <v>23</v>
      </c>
      <c r="H23" s="13"/>
    </row>
    <row r="24" customFormat="false" ht="67.5" hidden="false" customHeight="true" outlineLevel="0" collapsed="false">
      <c r="A24" s="9" t="s">
        <v>145</v>
      </c>
      <c r="B24" s="10" t="s">
        <v>146</v>
      </c>
      <c r="C24" s="10" t="s">
        <v>147</v>
      </c>
      <c r="D24" s="10" t="s">
        <v>148</v>
      </c>
      <c r="E24" s="10" t="s">
        <v>149</v>
      </c>
      <c r="F24" s="10" t="s">
        <v>150</v>
      </c>
      <c r="G24" s="11" t="s">
        <v>23</v>
      </c>
      <c r="H24" s="10"/>
    </row>
    <row r="25" customFormat="false" ht="67.5" hidden="false" customHeight="true" outlineLevel="0" collapsed="false">
      <c r="A25" s="12" t="s">
        <v>151</v>
      </c>
      <c r="B25" s="13" t="s">
        <v>152</v>
      </c>
      <c r="C25" s="13" t="s">
        <v>153</v>
      </c>
      <c r="D25" s="13" t="s">
        <v>154</v>
      </c>
      <c r="E25" s="13" t="s">
        <v>155</v>
      </c>
      <c r="F25" s="13" t="s">
        <v>156</v>
      </c>
      <c r="G25" s="11" t="s">
        <v>23</v>
      </c>
      <c r="H25" s="13"/>
    </row>
    <row r="26" customFormat="false" ht="67.5" hidden="false" customHeight="true" outlineLevel="0" collapsed="false">
      <c r="A26" s="9" t="s">
        <v>157</v>
      </c>
      <c r="B26" s="10" t="s">
        <v>158</v>
      </c>
      <c r="C26" s="10" t="s">
        <v>159</v>
      </c>
      <c r="D26" s="10" t="s">
        <v>160</v>
      </c>
      <c r="E26" s="10" t="s">
        <v>161</v>
      </c>
      <c r="F26" s="10" t="s">
        <v>162</v>
      </c>
      <c r="G26" s="11" t="s">
        <v>23</v>
      </c>
      <c r="H26" s="10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65"/>
  </cols>
  <sheetData>
    <row r="1" customFormat="false" ht="17.35" hidden="false" customHeight="false" outlineLevel="0" collapsed="false">
      <c r="A1" s="1" t="s">
        <v>164</v>
      </c>
    </row>
    <row r="3" customFormat="false" ht="15" hidden="false" customHeight="false" outlineLevel="0" collapsed="false">
      <c r="A3" s="2" t="s">
        <v>15</v>
      </c>
      <c r="B3" s="2" t="s">
        <v>165</v>
      </c>
    </row>
    <row r="4" customFormat="false" ht="24" hidden="false" customHeight="true" outlineLevel="0" collapsed="false">
      <c r="A4" s="11" t="s">
        <v>23</v>
      </c>
      <c r="B4" s="10" t="s">
        <v>166</v>
      </c>
    </row>
    <row r="5" customFormat="false" ht="24" hidden="false" customHeight="true" outlineLevel="0" collapsed="false">
      <c r="A5" s="14" t="s">
        <v>31</v>
      </c>
      <c r="B5" s="10" t="s">
        <v>167</v>
      </c>
    </row>
    <row r="6" customFormat="false" ht="24" hidden="false" customHeight="true" outlineLevel="0" collapsed="false">
      <c r="A6" s="15" t="s">
        <v>105</v>
      </c>
      <c r="B6" s="10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75"/>
  </cols>
  <sheetData>
    <row r="1" customFormat="false" ht="17.35" hidden="false" customHeight="false" outlineLevel="0" collapsed="false">
      <c r="A1" s="1" t="s">
        <v>169</v>
      </c>
    </row>
    <row r="3" customFormat="false" ht="15" hidden="false" customHeight="false" outlineLevel="0" collapsed="false">
      <c r="A3" s="2" t="s">
        <v>170</v>
      </c>
      <c r="B3" s="2" t="s">
        <v>171</v>
      </c>
    </row>
    <row r="4" customFormat="false" ht="24" hidden="false" customHeight="true" outlineLevel="0" collapsed="false">
      <c r="A4" s="16" t="s">
        <v>9</v>
      </c>
      <c r="B4" s="10" t="s">
        <v>172</v>
      </c>
    </row>
    <row r="5" customFormat="false" ht="24" hidden="false" customHeight="true" outlineLevel="0" collapsed="false">
      <c r="A5" s="17" t="s">
        <v>10</v>
      </c>
      <c r="B5" s="10" t="s">
        <v>173</v>
      </c>
    </row>
    <row r="6" customFormat="false" ht="24" hidden="false" customHeight="true" outlineLevel="0" collapsed="false">
      <c r="A6" s="16" t="s">
        <v>174</v>
      </c>
      <c r="B6" s="10" t="s">
        <v>175</v>
      </c>
    </row>
    <row r="7" customFormat="false" ht="24" hidden="false" customHeight="true" outlineLevel="0" collapsed="false">
      <c r="A7" s="17" t="s">
        <v>12</v>
      </c>
      <c r="B7" s="10" t="s">
        <v>176</v>
      </c>
    </row>
    <row r="8" customFormat="false" ht="24" hidden="false" customHeight="true" outlineLevel="0" collapsed="false">
      <c r="A8" s="16" t="s">
        <v>13</v>
      </c>
      <c r="B8" s="10" t="s">
        <v>177</v>
      </c>
    </row>
    <row r="9" customFormat="false" ht="24" hidden="false" customHeight="true" outlineLevel="0" collapsed="false">
      <c r="A9" s="17" t="s">
        <v>14</v>
      </c>
      <c r="B9" s="10" t="s">
        <v>178</v>
      </c>
    </row>
    <row r="10" customFormat="false" ht="24" hidden="false" customHeight="true" outlineLevel="0" collapsed="false">
      <c r="A10" s="16" t="s">
        <v>15</v>
      </c>
      <c r="B10" s="10" t="s">
        <v>179</v>
      </c>
    </row>
    <row r="11" customFormat="false" ht="24" hidden="false" customHeight="true" outlineLevel="0" collapsed="false">
      <c r="A11" s="17" t="s">
        <v>16</v>
      </c>
      <c r="B11" s="10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2026-07-09T23:05:12Z</dcterms:created>
  <dc:creator>openpyxl</dc:creator>
  <dc:description/>
  <dc:language>en-US</dc:language>
  <cp:lastModifiedBy/>
  <dcterms:modified xsi:type="dcterms:W3CDTF">2026-07-09T19:09:20Z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